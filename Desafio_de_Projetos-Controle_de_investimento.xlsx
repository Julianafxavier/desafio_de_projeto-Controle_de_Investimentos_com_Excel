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C:\Users\Juliana\Downloads\"/>
    </mc:Choice>
  </mc:AlternateContent>
  <xr:revisionPtr revIDLastSave="0" documentId="8_{18C33E42-C1E3-4AC3-8B59-3A88E6A91CC8}" xr6:coauthVersionLast="46" xr6:coauthVersionMax="46" xr10:uidLastSave="{00000000-0000-0000-0000-000000000000}"/>
  <bookViews>
    <workbookView xWindow="-120" yWindow="-120" windowWidth="20730" windowHeight="11160" tabRatio="0" xr2:uid="{2A78BB91-0A7E-4ECB-858A-20F30A996539}"/>
  </bookViews>
  <sheets>
    <sheet name="APP" sheetId="1" r:id="rId1"/>
    <sheet name="Apoio" sheetId="2" r:id="rId2"/>
  </sheets>
  <definedNames>
    <definedName name="Aporte">APP!$D$17</definedName>
    <definedName name="patrimonio">APP!$D$20</definedName>
    <definedName name="qtd_anos">APP!$D$18</definedName>
    <definedName name="Rendimento_Carteira">APP!$D$13</definedName>
    <definedName name="salario">APP!$D$12</definedName>
    <definedName name="sugestao_investimento">APP!$D$14</definedName>
    <definedName name="taxa_mensal">APP!$D$19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4" i="1" l="1"/>
  <c r="D24" i="1" s="1"/>
  <c r="D20" i="1"/>
  <c r="D21" i="1" s="1"/>
  <c r="C28" i="1"/>
  <c r="D28" i="1" s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C37" i="1"/>
  <c r="D37" i="1" s="1"/>
  <c r="C38" i="1"/>
  <c r="D38" i="1" s="1"/>
  <c r="C39" i="1"/>
  <c r="C40" i="1"/>
  <c r="D40" i="1" s="1"/>
  <c r="C41" i="1"/>
  <c r="D41" i="1" s="1"/>
  <c r="C36" i="1"/>
  <c r="D36" i="1" s="1"/>
  <c r="D39" i="1"/>
  <c r="C33" i="1"/>
  <c r="D14" i="1"/>
  <c r="C25" i="1"/>
  <c r="D25" i="1" s="1"/>
  <c r="C26" i="1"/>
  <c r="D26" i="1" s="1"/>
  <c r="C27" i="1"/>
  <c r="D27" i="1" s="1"/>
  <c r="D42" i="1" l="1"/>
</calcChain>
</file>

<file path=xl/sharedStrings.xml><?xml version="1.0" encoding="utf-8"?>
<sst xmlns="http://schemas.openxmlformats.org/spreadsheetml/2006/main" count="69" uniqueCount="34">
  <si>
    <t>Quanto investir por mês?</t>
  </si>
  <si>
    <t>Por quantos Anos?</t>
  </si>
  <si>
    <t>Patrimônio Acumulado?</t>
  </si>
  <si>
    <t>Divdendos Mensais?</t>
  </si>
  <si>
    <t>INVESTIMENTO MENSAL</t>
  </si>
  <si>
    <t>Taxa Rendimento mensal?</t>
  </si>
  <si>
    <t>Quanto em 2 anos?</t>
  </si>
  <si>
    <t>Quanto em 5 anos?</t>
  </si>
  <si>
    <t>Quanto em 10 anos?</t>
  </si>
  <si>
    <t>Quanto em 20 anos?</t>
  </si>
  <si>
    <t>Quanto em 30 anos?</t>
  </si>
  <si>
    <t>Cenários</t>
  </si>
  <si>
    <t>Dividendos</t>
  </si>
  <si>
    <t>Salário</t>
  </si>
  <si>
    <t>Rendimento Carteira</t>
  </si>
  <si>
    <t>CONFIGURAÇÕES</t>
  </si>
  <si>
    <t>Conservador</t>
  </si>
  <si>
    <t>VALOR A SER  INVESTIDO POR MÊS</t>
  </si>
  <si>
    <t>PERFIL</t>
  </si>
  <si>
    <t>TIPO DE FII</t>
  </si>
  <si>
    <t>Percentual Sugerido</t>
  </si>
  <si>
    <t>Valores</t>
  </si>
  <si>
    <t>PAPEL</t>
  </si>
  <si>
    <t>TIJOLO</t>
  </si>
  <si>
    <t>FOFS</t>
  </si>
  <si>
    <t>DESENVOLVIMENTO</t>
  </si>
  <si>
    <t>HOTELARIAS</t>
  </si>
  <si>
    <t>HÍBRIDROS</t>
  </si>
  <si>
    <t>Agressivo</t>
  </si>
  <si>
    <t>TIPOS DE FII</t>
  </si>
  <si>
    <t>%</t>
  </si>
  <si>
    <t>CHAVE</t>
  </si>
  <si>
    <t>Moderado</t>
  </si>
  <si>
    <t>Sugestão de Investimento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</si>
</sst>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&quot;R$&quot;\ #,##0.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0"/>
      <name val="Calibri"/>
      <family val="2"/>
    </font>
    <font>
      <b/>
      <sz val="12"/>
      <color theme="0"/>
      <name val="Calibri"/>
      <family val="2"/>
    </font>
    <font>
      <b/>
      <sz val="16"/>
      <color theme="0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70">
    <xf numFmtId="0" fontId="0" fillId="0" borderId="0" xfId="0"/>
    <xf numFmtId="0" fontId="4" fillId="0" borderId="0" xfId="0" applyFont="1"/>
    <xf numFmtId="164" fontId="0" fillId="0" borderId="0" xfId="0" applyNumberFormat="1"/>
    <xf numFmtId="0" fontId="6" fillId="3" borderId="2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7" fillId="3" borderId="2" xfId="0" applyFont="1" applyFill="1" applyBorder="1" applyAlignment="1">
      <alignment vertical="center"/>
    </xf>
    <xf numFmtId="0" fontId="6" fillId="3" borderId="9" xfId="0" applyFont="1" applyFill="1" applyBorder="1" applyAlignment="1">
      <alignment vertical="center"/>
    </xf>
    <xf numFmtId="9" fontId="0" fillId="0" borderId="0" xfId="0" applyNumberFormat="1"/>
    <xf numFmtId="164" fontId="0" fillId="0" borderId="12" xfId="0" applyNumberFormat="1" applyBorder="1" applyAlignment="1">
      <alignment horizontal="center"/>
    </xf>
    <xf numFmtId="10" fontId="0" fillId="0" borderId="12" xfId="0" applyNumberFormat="1" applyBorder="1" applyAlignment="1">
      <alignment horizontal="center"/>
    </xf>
    <xf numFmtId="164" fontId="3" fillId="0" borderId="17" xfId="0" applyNumberFormat="1" applyFont="1" applyBorder="1" applyAlignment="1">
      <alignment horizontal="center"/>
    </xf>
    <xf numFmtId="1" fontId="3" fillId="0" borderId="12" xfId="0" applyNumberFormat="1" applyFont="1" applyBorder="1" applyAlignment="1">
      <alignment horizontal="center"/>
    </xf>
    <xf numFmtId="10" fontId="3" fillId="0" borderId="12" xfId="0" applyNumberFormat="1" applyFont="1" applyBorder="1" applyAlignment="1">
      <alignment horizontal="center"/>
    </xf>
    <xf numFmtId="8" fontId="3" fillId="5" borderId="12" xfId="0" applyNumberFormat="1" applyFont="1" applyFill="1" applyBorder="1" applyAlignment="1">
      <alignment horizontal="center"/>
    </xf>
    <xf numFmtId="8" fontId="3" fillId="5" borderId="14" xfId="0" applyNumberFormat="1" applyFont="1" applyFill="1" applyBorder="1" applyAlignment="1">
      <alignment horizontal="center"/>
    </xf>
    <xf numFmtId="164" fontId="0" fillId="5" borderId="14" xfId="0" applyNumberFormat="1" applyFill="1" applyBorder="1" applyAlignment="1">
      <alignment horizontal="center"/>
    </xf>
    <xf numFmtId="0" fontId="5" fillId="5" borderId="15" xfId="0" applyFont="1" applyFill="1" applyBorder="1" applyAlignment="1">
      <alignment horizontal="left" indent="3"/>
    </xf>
    <xf numFmtId="164" fontId="0" fillId="5" borderId="16" xfId="0" applyNumberFormat="1" applyFill="1" applyBorder="1" applyAlignment="1">
      <alignment horizontal="center"/>
    </xf>
    <xf numFmtId="164" fontId="0" fillId="5" borderId="17" xfId="0" applyNumberFormat="1" applyFill="1" applyBorder="1" applyAlignment="1">
      <alignment horizontal="center"/>
    </xf>
    <xf numFmtId="0" fontId="5" fillId="5" borderId="11" xfId="0" applyFont="1" applyFill="1" applyBorder="1" applyAlignment="1">
      <alignment horizontal="left" indent="3"/>
    </xf>
    <xf numFmtId="164" fontId="0" fillId="5" borderId="18" xfId="0" applyNumberFormat="1" applyFill="1" applyBorder="1" applyAlignment="1">
      <alignment horizontal="center"/>
    </xf>
    <xf numFmtId="164" fontId="0" fillId="5" borderId="12" xfId="0" applyNumberFormat="1" applyFill="1" applyBorder="1" applyAlignment="1">
      <alignment horizontal="center"/>
    </xf>
    <xf numFmtId="0" fontId="5" fillId="5" borderId="13" xfId="0" applyFont="1" applyFill="1" applyBorder="1" applyAlignment="1">
      <alignment horizontal="left" indent="3"/>
    </xf>
    <xf numFmtId="164" fontId="0" fillId="5" borderId="19" xfId="0" applyNumberFormat="1" applyFill="1" applyBorder="1" applyAlignment="1">
      <alignment horizontal="center"/>
    </xf>
    <xf numFmtId="0" fontId="2" fillId="2" borderId="0" xfId="2"/>
    <xf numFmtId="0" fontId="2" fillId="2" borderId="0" xfId="2" applyAlignment="1">
      <alignment horizontal="center"/>
    </xf>
    <xf numFmtId="0" fontId="0" fillId="5" borderId="0" xfId="0" applyFill="1"/>
    <xf numFmtId="164" fontId="0" fillId="5" borderId="0" xfId="0" applyNumberFormat="1" applyFill="1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10" xfId="0" applyBorder="1" applyAlignment="1">
      <alignment horizontal="center"/>
    </xf>
    <xf numFmtId="9" fontId="0" fillId="0" borderId="10" xfId="0" applyNumberFormat="1" applyBorder="1" applyAlignment="1">
      <alignment horizontal="center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164" fontId="3" fillId="6" borderId="0" xfId="0" applyNumberFormat="1" applyFont="1" applyFill="1" applyAlignment="1">
      <alignment horizontal="center"/>
    </xf>
    <xf numFmtId="0" fontId="0" fillId="0" borderId="3" xfId="0" applyBorder="1" applyAlignment="1">
      <alignment horizontal="center"/>
    </xf>
    <xf numFmtId="9" fontId="0" fillId="0" borderId="20" xfId="0" applyNumberFormat="1" applyBorder="1" applyAlignment="1">
      <alignment horizontal="center"/>
    </xf>
    <xf numFmtId="164" fontId="0" fillId="5" borderId="4" xfId="0" applyNumberFormat="1" applyFill="1" applyBorder="1" applyAlignment="1">
      <alignment horizontal="center"/>
    </xf>
    <xf numFmtId="0" fontId="0" fillId="0" borderId="5" xfId="0" applyBorder="1" applyAlignment="1">
      <alignment horizontal="center"/>
    </xf>
    <xf numFmtId="9" fontId="0" fillId="0" borderId="21" xfId="0" applyNumberFormat="1" applyBorder="1" applyAlignment="1">
      <alignment horizontal="center"/>
    </xf>
    <xf numFmtId="164" fontId="0" fillId="5" borderId="6" xfId="0" applyNumberFormat="1" applyFill="1" applyBorder="1" applyAlignment="1">
      <alignment horizontal="center"/>
    </xf>
    <xf numFmtId="0" fontId="0" fillId="0" borderId="7" xfId="0" applyBorder="1" applyAlignment="1">
      <alignment horizontal="center"/>
    </xf>
    <xf numFmtId="9" fontId="0" fillId="0" borderId="22" xfId="0" applyNumberFormat="1" applyBorder="1" applyAlignment="1">
      <alignment horizontal="center"/>
    </xf>
    <xf numFmtId="164" fontId="0" fillId="5" borderId="8" xfId="0" applyNumberFormat="1" applyFill="1" applyBorder="1" applyAlignment="1">
      <alignment horizontal="center"/>
    </xf>
    <xf numFmtId="0" fontId="6" fillId="3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left" indent="3"/>
    </xf>
    <xf numFmtId="0" fontId="9" fillId="0" borderId="16" xfId="0" applyFont="1" applyBorder="1" applyAlignment="1">
      <alignment horizontal="left" indent="3"/>
    </xf>
    <xf numFmtId="0" fontId="9" fillId="0" borderId="11" xfId="0" applyFont="1" applyBorder="1" applyAlignment="1">
      <alignment horizontal="left" indent="3"/>
    </xf>
    <xf numFmtId="0" fontId="9" fillId="0" borderId="18" xfId="0" applyFont="1" applyBorder="1" applyAlignment="1">
      <alignment horizontal="left" indent="3"/>
    </xf>
    <xf numFmtId="0" fontId="10" fillId="5" borderId="11" xfId="0" applyFont="1" applyFill="1" applyBorder="1" applyAlignment="1">
      <alignment horizontal="left" indent="3"/>
    </xf>
    <xf numFmtId="0" fontId="10" fillId="5" borderId="18" xfId="0" applyFont="1" applyFill="1" applyBorder="1" applyAlignment="1">
      <alignment horizontal="left" indent="3"/>
    </xf>
    <xf numFmtId="0" fontId="10" fillId="5" borderId="13" xfId="0" applyFont="1" applyFill="1" applyBorder="1" applyAlignment="1">
      <alignment horizontal="left" indent="3"/>
    </xf>
    <xf numFmtId="0" fontId="10" fillId="5" borderId="19" xfId="0" applyFont="1" applyFill="1" applyBorder="1" applyAlignment="1">
      <alignment horizontal="left" indent="3"/>
    </xf>
    <xf numFmtId="0" fontId="5" fillId="5" borderId="15" xfId="0" applyFont="1" applyFill="1" applyBorder="1" applyAlignment="1">
      <alignment horizontal="left" indent="3"/>
    </xf>
    <xf numFmtId="0" fontId="5" fillId="5" borderId="16" xfId="0" applyFont="1" applyFill="1" applyBorder="1" applyAlignment="1">
      <alignment horizontal="left" indent="3"/>
    </xf>
    <xf numFmtId="0" fontId="5" fillId="5" borderId="11" xfId="0" applyFont="1" applyFill="1" applyBorder="1" applyAlignment="1">
      <alignment horizontal="left" indent="3"/>
    </xf>
    <xf numFmtId="0" fontId="5" fillId="5" borderId="18" xfId="0" applyFont="1" applyFill="1" applyBorder="1" applyAlignment="1">
      <alignment horizontal="left" indent="3"/>
    </xf>
    <xf numFmtId="0" fontId="5" fillId="5" borderId="13" xfId="0" applyFont="1" applyFill="1" applyBorder="1" applyAlignment="1">
      <alignment horizontal="left" indent="3"/>
    </xf>
    <xf numFmtId="0" fontId="5" fillId="5" borderId="19" xfId="0" applyFont="1" applyFill="1" applyBorder="1" applyAlignment="1">
      <alignment horizontal="left" indent="3"/>
    </xf>
    <xf numFmtId="0" fontId="0" fillId="7" borderId="0" xfId="0" applyFill="1"/>
    <xf numFmtId="0" fontId="2" fillId="7" borderId="0" xfId="2" applyFill="1" applyAlignment="1">
      <alignment horizontal="left"/>
    </xf>
    <xf numFmtId="9" fontId="2" fillId="7" borderId="0" xfId="1" applyFont="1" applyFill="1"/>
    <xf numFmtId="0" fontId="11" fillId="8" borderId="0" xfId="0" applyFont="1" applyFill="1" applyAlignment="1">
      <alignment horizontal="left"/>
    </xf>
    <xf numFmtId="0" fontId="11" fillId="8" borderId="0" xfId="0" applyFont="1" applyFill="1" applyAlignment="1">
      <alignment horizontal="center"/>
    </xf>
  </cellXfs>
  <cellStyles count="3">
    <cellStyle name="Neutro" xfId="2" builtinId="28"/>
    <cellStyle name="Normal" xfId="0" builtinId="0"/>
    <cellStyle name="Porcentagem" xfId="1" builtinId="5"/>
  </cellStyles>
  <dxfs count="0"/>
  <tableStyles count="0" defaultTableStyle="TableStyleMedium2" defaultPivotStyle="PivotStyleLight16"/>
  <colors>
    <mruColors>
      <color rgb="FF8EC26A"/>
      <color rgb="FFF6D40A"/>
      <color rgb="FFFC9F24"/>
      <color rgb="FFE9C9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HÍBRIDROS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APP!$C$36:$C$41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F5-4277-B5D7-75BB7E3028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43</xdr:row>
      <xdr:rowOff>18272</xdr:rowOff>
    </xdr:from>
    <xdr:to>
      <xdr:col>4</xdr:col>
      <xdr:colOff>21382</xdr:colOff>
      <xdr:row>57</xdr:row>
      <xdr:rowOff>40044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60AE6AB-1C19-479B-BCB9-58F956D4CB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417933</xdr:colOff>
      <xdr:row>1</xdr:row>
      <xdr:rowOff>58316</xdr:rowOff>
    </xdr:from>
    <xdr:to>
      <xdr:col>4</xdr:col>
      <xdr:colOff>281861</xdr:colOff>
      <xdr:row>9</xdr:row>
      <xdr:rowOff>87085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E2A2AFC9-7B16-4EC1-B143-CA59657F8871}"/>
            </a:ext>
          </a:extLst>
        </xdr:cNvPr>
        <xdr:cNvPicPr/>
      </xdr:nvPicPr>
      <xdr:blipFill>
        <a:blip xmlns:r="http://schemas.openxmlformats.org/officeDocument/2006/relationships" r:embed="rId2">
          <a:duotone>
            <a:prstClr val="black"/>
            <a:schemeClr val="accent6">
              <a:lumMod val="75000"/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7933" y="252704"/>
          <a:ext cx="5345663" cy="1583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29159</xdr:colOff>
      <xdr:row>2</xdr:row>
      <xdr:rowOff>48596</xdr:rowOff>
    </xdr:from>
    <xdr:to>
      <xdr:col>4</xdr:col>
      <xdr:colOff>97194</xdr:colOff>
      <xdr:row>8</xdr:row>
      <xdr:rowOff>116633</xdr:rowOff>
    </xdr:to>
    <xdr:sp macro="" textlink="">
      <xdr:nvSpPr>
        <xdr:cNvPr id="17" name="Retângulo 16">
          <a:extLst>
            <a:ext uri="{FF2B5EF4-FFF2-40B4-BE49-F238E27FC236}">
              <a16:creationId xmlns:a16="http://schemas.microsoft.com/office/drawing/2014/main" id="{6FCE03D5-6CE9-477F-9CAA-D4DD456B25AD}"/>
            </a:ext>
          </a:extLst>
        </xdr:cNvPr>
        <xdr:cNvSpPr>
          <a:spLocks noChangeArrowheads="1"/>
        </xdr:cNvSpPr>
      </xdr:nvSpPr>
      <xdr:spPr bwMode="auto">
        <a:xfrm>
          <a:off x="641480" y="437372"/>
          <a:ext cx="4937449" cy="1234363"/>
        </a:xfrm>
        <a:prstGeom prst="rect">
          <a:avLst/>
        </a:prstGeom>
        <a:solidFill>
          <a:srgbClr val="FFFFFF"/>
        </a:solidFill>
        <a:ln w="12700">
          <a:solidFill>
            <a:srgbClr val="FFFFFF"/>
          </a:solidFill>
          <a:miter lim="800000"/>
          <a:headEnd/>
          <a:tailEnd/>
        </a:ln>
      </xdr:spPr>
      <xdr:txBody>
        <a:bodyPr wrap="square" lIns="91440" tIns="45720" rIns="91440" bIns="45720" anchor="b" upright="1"/>
        <a:lstStyle/>
        <a:p>
          <a:pPr lvl="0" algn="ctr" fontAlgn="base">
            <a:lnSpc>
              <a:spcPct val="107000"/>
            </a:lnSpc>
            <a:spcAft>
              <a:spcPts val="800"/>
            </a:spcAft>
          </a:pPr>
          <a:r>
            <a:rPr lang="pt-BR" sz="3900">
              <a:solidFill>
                <a:srgbClr val="548235"/>
              </a:solidFill>
              <a:effectLst/>
              <a:latin typeface="Arial Black" panose="020B0A040201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     MEU</a:t>
          </a:r>
          <a:r>
            <a:rPr lang="pt-BR" sz="3900" baseline="0">
              <a:solidFill>
                <a:srgbClr val="548235"/>
              </a:solidFill>
              <a:effectLst/>
              <a:latin typeface="Arial Black" panose="020B0A040201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 </a:t>
          </a:r>
          <a:r>
            <a:rPr lang="pt-BR" sz="3900">
              <a:solidFill>
                <a:srgbClr val="548235"/>
              </a:solidFill>
              <a:effectLst/>
              <a:latin typeface="Arial Black" panose="020B0A04020102020204" pitchFamily="34" charset="0"/>
              <a:ea typeface="Arial" panose="020B0604020202020204" pitchFamily="34" charset="0"/>
              <a:cs typeface="Times New Roman" panose="02020603050405020304" pitchFamily="18" charset="0"/>
            </a:rPr>
            <a:t>INVEST</a:t>
          </a:r>
          <a:endParaRPr lang="pt-BR" sz="3900">
            <a:effectLst/>
            <a:latin typeface="Arial" panose="020B0604020202020204" pitchFamily="34" charset="0"/>
            <a:ea typeface="Arial" panose="020B060402020202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1</xdr:col>
      <xdr:colOff>37324</xdr:colOff>
      <xdr:row>2</xdr:row>
      <xdr:rowOff>36350</xdr:rowOff>
    </xdr:from>
    <xdr:to>
      <xdr:col>1</xdr:col>
      <xdr:colOff>1294624</xdr:colOff>
      <xdr:row>8</xdr:row>
      <xdr:rowOff>127324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402589EB-7C03-47CA-B94C-F8488C51EBFC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9645" y="425126"/>
          <a:ext cx="1257300" cy="1257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lt1">
            <a:tint val="95000"/>
            <a:satMod val="170000"/>
          </a:schemeClr>
        </a:solidFill>
        <a:ln w="38100"/>
      </a:spPr>
      <a:bodyPr vertOverflow="clip" horzOverflow="clip" rtlCol="0" anchor="t"/>
      <a:lstStyle>
        <a:defPPr algn="l">
          <a:defRPr sz="1100"/>
        </a:defPPr>
      </a:lstStyle>
      <a:style>
        <a:lnRef idx="2">
          <a:schemeClr val="accent6"/>
        </a:lnRef>
        <a:fillRef idx="1002">
          <a:schemeClr val="lt1"/>
        </a:fillRef>
        <a:effectRef idx="0">
          <a:schemeClr val="accent6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34E55-EB13-43FA-A317-670598A0C52D}">
  <dimension ref="A10:H67"/>
  <sheetViews>
    <sheetView showGridLines="0" showRowColHeaders="0" tabSelected="1" zoomScale="98" zoomScaleNormal="98" workbookViewId="0">
      <selection activeCell="G42" sqref="G42"/>
    </sheetView>
  </sheetViews>
  <sheetFormatPr defaultColWidth="0" defaultRowHeight="15" x14ac:dyDescent="0.25"/>
  <cols>
    <col min="1" max="1" width="9.140625" customWidth="1"/>
    <col min="2" max="2" width="40.5703125" customWidth="1"/>
    <col min="3" max="3" width="19.140625" bestFit="1" customWidth="1"/>
    <col min="4" max="4" width="13.42578125" customWidth="1"/>
    <col min="5" max="8" width="5.28515625" customWidth="1"/>
    <col min="9" max="11" width="9.140625" hidden="1" customWidth="1"/>
    <col min="12" max="16384" width="9.140625" hidden="1"/>
  </cols>
  <sheetData>
    <row r="10" spans="2:4" ht="15.75" thickBot="1" x14ac:dyDescent="0.3"/>
    <row r="11" spans="2:4" ht="21" x14ac:dyDescent="0.25">
      <c r="B11" s="46" t="s">
        <v>15</v>
      </c>
      <c r="C11" s="47"/>
      <c r="D11" s="48"/>
    </row>
    <row r="12" spans="2:4" ht="15.75" x14ac:dyDescent="0.25">
      <c r="B12" s="59" t="s">
        <v>13</v>
      </c>
      <c r="C12" s="60"/>
      <c r="D12" s="8">
        <v>2000</v>
      </c>
    </row>
    <row r="13" spans="2:4" ht="15.75" x14ac:dyDescent="0.25">
      <c r="B13" s="61" t="s">
        <v>14</v>
      </c>
      <c r="C13" s="62"/>
      <c r="D13" s="9">
        <v>6.0000000000000001E-3</v>
      </c>
    </row>
    <row r="14" spans="2:4" ht="16.5" thickBot="1" x14ac:dyDescent="0.3">
      <c r="B14" s="63" t="s">
        <v>33</v>
      </c>
      <c r="C14" s="64"/>
      <c r="D14" s="15">
        <f>salario*30%</f>
        <v>600</v>
      </c>
    </row>
    <row r="15" spans="2:4" ht="15.75" thickBot="1" x14ac:dyDescent="0.3"/>
    <row r="16" spans="2:4" ht="27" customHeight="1" x14ac:dyDescent="0.25">
      <c r="B16" s="49" t="s">
        <v>4</v>
      </c>
      <c r="C16" s="50"/>
      <c r="D16" s="3"/>
    </row>
    <row r="17" spans="1:7" ht="15.75" x14ac:dyDescent="0.25">
      <c r="B17" s="51" t="s">
        <v>0</v>
      </c>
      <c r="C17" s="52"/>
      <c r="D17" s="10">
        <v>200</v>
      </c>
    </row>
    <row r="18" spans="1:7" ht="15.75" x14ac:dyDescent="0.25">
      <c r="B18" s="53" t="s">
        <v>1</v>
      </c>
      <c r="C18" s="54"/>
      <c r="D18" s="11">
        <v>5</v>
      </c>
    </row>
    <row r="19" spans="1:7" ht="15.75" x14ac:dyDescent="0.25">
      <c r="B19" s="53" t="s">
        <v>5</v>
      </c>
      <c r="C19" s="54"/>
      <c r="D19" s="12">
        <v>1.0789999999999999E-2</v>
      </c>
      <c r="G19" s="4"/>
    </row>
    <row r="20" spans="1:7" ht="15.75" x14ac:dyDescent="0.25">
      <c r="B20" s="55" t="s">
        <v>2</v>
      </c>
      <c r="C20" s="56"/>
      <c r="D20" s="13">
        <f>FV(taxa_mensal,qtd_anos*12,Aporte*-1)</f>
        <v>16755.382799697527</v>
      </c>
    </row>
    <row r="21" spans="1:7" ht="16.5" thickBot="1" x14ac:dyDescent="0.3">
      <c r="B21" s="57" t="s">
        <v>3</v>
      </c>
      <c r="C21" s="58"/>
      <c r="D21" s="14">
        <f>patrimonio*Rendimento_Carteira</f>
        <v>100.53229679818516</v>
      </c>
    </row>
    <row r="22" spans="1:7" ht="15.75" thickBot="1" x14ac:dyDescent="0.3"/>
    <row r="23" spans="1:7" ht="26.25" x14ac:dyDescent="0.25">
      <c r="B23" s="45" t="s">
        <v>11</v>
      </c>
      <c r="C23" s="6"/>
      <c r="D23" s="5" t="s">
        <v>12</v>
      </c>
    </row>
    <row r="24" spans="1:7" ht="15.75" x14ac:dyDescent="0.25">
      <c r="A24" s="1">
        <v>2</v>
      </c>
      <c r="B24" s="16" t="s">
        <v>6</v>
      </c>
      <c r="C24" s="17">
        <f>FV($D$19,$A24*12,$D$17*-1)</f>
        <v>5445.5254595290435</v>
      </c>
      <c r="D24" s="18">
        <f>C24*Rendimento_Carteira</f>
        <v>32.673152757174265</v>
      </c>
      <c r="E24" s="2"/>
    </row>
    <row r="25" spans="1:7" ht="15.75" x14ac:dyDescent="0.25">
      <c r="A25" s="1">
        <v>5</v>
      </c>
      <c r="B25" s="19" t="s">
        <v>7</v>
      </c>
      <c r="C25" s="20">
        <f>FV($D$19,$A25*12,$D$17*-1)</f>
        <v>16755.382799697527</v>
      </c>
      <c r="D25" s="21">
        <f>C25*Rendimento_Carteira</f>
        <v>100.53229679818516</v>
      </c>
    </row>
    <row r="26" spans="1:7" ht="15.75" x14ac:dyDescent="0.25">
      <c r="A26" s="1">
        <v>10</v>
      </c>
      <c r="B26" s="19" t="s">
        <v>8</v>
      </c>
      <c r="C26" s="20">
        <f>FV($D$19,$A26*12,$D$17*-1)</f>
        <v>48656.842506034438</v>
      </c>
      <c r="D26" s="21">
        <f>C26*Rendimento_Carteira</f>
        <v>291.94105503620665</v>
      </c>
    </row>
    <row r="27" spans="1:7" ht="15.75" x14ac:dyDescent="0.25">
      <c r="A27" s="1">
        <v>20</v>
      </c>
      <c r="B27" s="19" t="s">
        <v>9</v>
      </c>
      <c r="C27" s="20">
        <f>FV($D$19,$A27*12,$D$17*-1)</f>
        <v>225039.68001941612</v>
      </c>
      <c r="D27" s="21">
        <f>C27*Rendimento_Carteira</f>
        <v>1350.2380801164968</v>
      </c>
    </row>
    <row r="28" spans="1:7" ht="16.5" thickBot="1" x14ac:dyDescent="0.3">
      <c r="A28" s="1">
        <v>30</v>
      </c>
      <c r="B28" s="22" t="s">
        <v>10</v>
      </c>
      <c r="C28" s="23">
        <f>FV($D$19,$A28*12,$D$17*-1)</f>
        <v>864433.93100094295</v>
      </c>
      <c r="D28" s="15">
        <f>C28*Rendimento_Carteira</f>
        <v>5186.6035860056581</v>
      </c>
    </row>
    <row r="32" spans="1:7" x14ac:dyDescent="0.25">
      <c r="B32" s="24" t="s">
        <v>18</v>
      </c>
      <c r="C32" s="25" t="s">
        <v>32</v>
      </c>
      <c r="D32" s="24"/>
    </row>
    <row r="33" spans="2:4" x14ac:dyDescent="0.25">
      <c r="B33" s="26" t="s">
        <v>17</v>
      </c>
      <c r="C33" s="27">
        <f>Aporte</f>
        <v>200</v>
      </c>
      <c r="D33" s="26"/>
    </row>
    <row r="35" spans="2:4" x14ac:dyDescent="0.25">
      <c r="B35" s="29" t="s">
        <v>19</v>
      </c>
      <c r="C35" s="29" t="s">
        <v>20</v>
      </c>
      <c r="D35" s="29" t="s">
        <v>21</v>
      </c>
    </row>
    <row r="36" spans="2:4" x14ac:dyDescent="0.25">
      <c r="B36" s="36" t="s">
        <v>22</v>
      </c>
      <c r="C36" s="37">
        <f>VLOOKUP($C$32&amp;"-"&amp;B36,Apoio!$B$3:$E$20,4,FALSE)</f>
        <v>0.32</v>
      </c>
      <c r="D36" s="38">
        <f t="shared" ref="D36:D41" si="0">C36*Aporte</f>
        <v>64</v>
      </c>
    </row>
    <row r="37" spans="2:4" x14ac:dyDescent="0.25">
      <c r="B37" s="39" t="s">
        <v>23</v>
      </c>
      <c r="C37" s="40">
        <f>VLOOKUP($C$32&amp;"-"&amp;B37,Apoio!$B$3:$E$20,4,FALSE)</f>
        <v>0.35</v>
      </c>
      <c r="D37" s="41">
        <f t="shared" si="0"/>
        <v>70</v>
      </c>
    </row>
    <row r="38" spans="2:4" x14ac:dyDescent="0.25">
      <c r="B38" s="39" t="s">
        <v>27</v>
      </c>
      <c r="C38" s="40">
        <f>VLOOKUP($C$32&amp;"-"&amp;B38,Apoio!$B$3:$E$20,4,FALSE)</f>
        <v>0.08</v>
      </c>
      <c r="D38" s="41">
        <f t="shared" si="0"/>
        <v>16</v>
      </c>
    </row>
    <row r="39" spans="2:4" x14ac:dyDescent="0.25">
      <c r="B39" s="39" t="s">
        <v>24</v>
      </c>
      <c r="C39" s="40">
        <f>VLOOKUP($C$32&amp;"-"&amp;B39,Apoio!$B$3:$E$20,4,FALSE)</f>
        <v>0.05</v>
      </c>
      <c r="D39" s="41">
        <f t="shared" si="0"/>
        <v>10</v>
      </c>
    </row>
    <row r="40" spans="2:4" x14ac:dyDescent="0.25">
      <c r="B40" s="39" t="s">
        <v>25</v>
      </c>
      <c r="C40" s="40">
        <f>VLOOKUP($C$32&amp;"-"&amp;B40,Apoio!$B$3:$E$20,4,FALSE)</f>
        <v>0.1</v>
      </c>
      <c r="D40" s="41">
        <f t="shared" si="0"/>
        <v>20</v>
      </c>
    </row>
    <row r="41" spans="2:4" x14ac:dyDescent="0.25">
      <c r="B41" s="42" t="s">
        <v>26</v>
      </c>
      <c r="C41" s="43">
        <f>VLOOKUP($C$32&amp;"-"&amp;B41,Apoio!$B$3:$E$20,4,FALSE)</f>
        <v>0.1</v>
      </c>
      <c r="D41" s="44">
        <f t="shared" si="0"/>
        <v>20</v>
      </c>
    </row>
    <row r="42" spans="2:4" x14ac:dyDescent="0.25">
      <c r="B42" s="28"/>
      <c r="C42" s="29"/>
      <c r="D42" s="35">
        <f>SUM(D36:D41)</f>
        <v>200</v>
      </c>
    </row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</sheetData>
  <mergeCells count="10">
    <mergeCell ref="B20:C20"/>
    <mergeCell ref="B21:C21"/>
    <mergeCell ref="B12:C12"/>
    <mergeCell ref="B13:C13"/>
    <mergeCell ref="B14:C14"/>
    <mergeCell ref="B11:D11"/>
    <mergeCell ref="B16:C16"/>
    <mergeCell ref="B17:C17"/>
    <mergeCell ref="B18:C18"/>
    <mergeCell ref="B19:C19"/>
  </mergeCells>
  <dataValidations count="1">
    <dataValidation type="list" allowBlank="1" showInputMessage="1" showErrorMessage="1" sqref="C32" xr:uid="{8EF6993C-7722-4D6E-9CE2-D0B5A02E4AA6}">
      <formula1>"Conservador,Moderado,Agressivo"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22F14-0366-4CFB-9CE6-F2FC8B1F3D06}">
  <dimension ref="B2:I20"/>
  <sheetViews>
    <sheetView showGridLines="0" workbookViewId="0">
      <selection activeCell="G14" sqref="G14"/>
    </sheetView>
  </sheetViews>
  <sheetFormatPr defaultRowHeight="15" x14ac:dyDescent="0.25"/>
  <cols>
    <col min="1" max="1" width="5.42578125" customWidth="1"/>
    <col min="2" max="2" width="31.28515625" style="33" bestFit="1" customWidth="1"/>
    <col min="3" max="3" width="13.85546875" style="4" customWidth="1"/>
    <col min="4" max="4" width="19" bestFit="1" customWidth="1"/>
    <col min="5" max="5" width="9.140625" style="4"/>
    <col min="8" max="8" width="17" bestFit="1" customWidth="1"/>
    <col min="9" max="9" width="10.140625" bestFit="1" customWidth="1"/>
  </cols>
  <sheetData>
    <row r="2" spans="2:9" x14ac:dyDescent="0.25">
      <c r="B2" s="68" t="s">
        <v>31</v>
      </c>
      <c r="C2" s="69" t="s">
        <v>18</v>
      </c>
      <c r="D2" s="69" t="s">
        <v>29</v>
      </c>
      <c r="E2" s="69" t="s">
        <v>30</v>
      </c>
    </row>
    <row r="3" spans="2:9" x14ac:dyDescent="0.25">
      <c r="B3" s="33" t="str">
        <f>C3&amp;"-"&amp;D3</f>
        <v>Conservador-PAPEL</v>
      </c>
      <c r="C3" s="4" t="s">
        <v>16</v>
      </c>
      <c r="D3" s="4" t="s">
        <v>22</v>
      </c>
      <c r="E3" s="30">
        <v>0.3</v>
      </c>
    </row>
    <row r="4" spans="2:9" x14ac:dyDescent="0.25">
      <c r="B4" s="33" t="str">
        <f t="shared" ref="B4:B20" si="0">C4&amp;"-"&amp;D4</f>
        <v>Conservador-TIJOLO</v>
      </c>
      <c r="C4" s="4" t="s">
        <v>16</v>
      </c>
      <c r="D4" s="4" t="s">
        <v>23</v>
      </c>
      <c r="E4" s="30">
        <v>0.5</v>
      </c>
      <c r="H4" s="65"/>
      <c r="I4" s="65"/>
    </row>
    <row r="5" spans="2:9" x14ac:dyDescent="0.25">
      <c r="B5" s="33" t="str">
        <f t="shared" si="0"/>
        <v>Conservador-HÍBRIDROS</v>
      </c>
      <c r="C5" s="4" t="s">
        <v>16</v>
      </c>
      <c r="D5" s="4" t="s">
        <v>27</v>
      </c>
      <c r="E5" s="30">
        <v>0.1</v>
      </c>
      <c r="H5" s="66"/>
      <c r="I5" s="67"/>
    </row>
    <row r="6" spans="2:9" x14ac:dyDescent="0.25">
      <c r="B6" s="33" t="str">
        <f t="shared" si="0"/>
        <v>Conservador-FOFS</v>
      </c>
      <c r="C6" s="4" t="s">
        <v>16</v>
      </c>
      <c r="D6" s="4" t="s">
        <v>24</v>
      </c>
      <c r="E6" s="30">
        <v>0.1</v>
      </c>
    </row>
    <row r="7" spans="2:9" x14ac:dyDescent="0.25">
      <c r="B7" s="33" t="str">
        <f t="shared" si="0"/>
        <v>Conservador-DESENVOLVIMENTO</v>
      </c>
      <c r="C7" s="4" t="s">
        <v>16</v>
      </c>
      <c r="D7" s="4" t="s">
        <v>25</v>
      </c>
      <c r="E7" s="30">
        <v>0</v>
      </c>
    </row>
    <row r="8" spans="2:9" ht="15.75" thickBot="1" x14ac:dyDescent="0.3">
      <c r="B8" s="34" t="str">
        <f t="shared" si="0"/>
        <v>Conservador-HOTELARIAS</v>
      </c>
      <c r="C8" s="31" t="s">
        <v>16</v>
      </c>
      <c r="D8" s="31" t="s">
        <v>26</v>
      </c>
      <c r="E8" s="32">
        <v>0</v>
      </c>
    </row>
    <row r="9" spans="2:9" x14ac:dyDescent="0.25">
      <c r="B9" s="33" t="str">
        <f t="shared" si="0"/>
        <v>Moderado-PAPEL</v>
      </c>
      <c r="C9" s="4" t="s">
        <v>32</v>
      </c>
      <c r="D9" s="4" t="s">
        <v>22</v>
      </c>
      <c r="E9" s="30">
        <v>0.32</v>
      </c>
    </row>
    <row r="10" spans="2:9" x14ac:dyDescent="0.25">
      <c r="B10" s="33" t="str">
        <f t="shared" si="0"/>
        <v>Moderado-TIJOLO</v>
      </c>
      <c r="C10" s="4" t="s">
        <v>32</v>
      </c>
      <c r="D10" s="4" t="s">
        <v>23</v>
      </c>
      <c r="E10" s="30">
        <v>0.35</v>
      </c>
    </row>
    <row r="11" spans="2:9" x14ac:dyDescent="0.25">
      <c r="B11" s="33" t="str">
        <f t="shared" si="0"/>
        <v>Moderado-HÍBRIDROS</v>
      </c>
      <c r="C11" s="4" t="s">
        <v>32</v>
      </c>
      <c r="D11" s="4" t="s">
        <v>27</v>
      </c>
      <c r="E11" s="30">
        <v>0.08</v>
      </c>
    </row>
    <row r="12" spans="2:9" x14ac:dyDescent="0.25">
      <c r="B12" s="33" t="str">
        <f t="shared" si="0"/>
        <v>Moderado-FOFS</v>
      </c>
      <c r="C12" s="4" t="s">
        <v>32</v>
      </c>
      <c r="D12" s="4" t="s">
        <v>24</v>
      </c>
      <c r="E12" s="30">
        <v>0.05</v>
      </c>
    </row>
    <row r="13" spans="2:9" x14ac:dyDescent="0.25">
      <c r="B13" s="33" t="str">
        <f t="shared" si="0"/>
        <v>Moderado-DESENVOLVIMENTO</v>
      </c>
      <c r="C13" s="4" t="s">
        <v>32</v>
      </c>
      <c r="D13" s="4" t="s">
        <v>25</v>
      </c>
      <c r="E13" s="30">
        <v>0.1</v>
      </c>
    </row>
    <row r="14" spans="2:9" ht="15.75" thickBot="1" x14ac:dyDescent="0.3">
      <c r="B14" s="34" t="str">
        <f t="shared" si="0"/>
        <v>Moderado-HOTELARIAS</v>
      </c>
      <c r="C14" s="31" t="s">
        <v>32</v>
      </c>
      <c r="D14" s="31" t="s">
        <v>26</v>
      </c>
      <c r="E14" s="32">
        <v>0.1</v>
      </c>
    </row>
    <row r="15" spans="2:9" x14ac:dyDescent="0.25">
      <c r="B15" s="33" t="str">
        <f t="shared" si="0"/>
        <v>Agressivo-PAPEL</v>
      </c>
      <c r="C15" s="4" t="s">
        <v>28</v>
      </c>
      <c r="D15" s="4" t="s">
        <v>22</v>
      </c>
      <c r="E15" s="30">
        <v>0.5</v>
      </c>
    </row>
    <row r="16" spans="2:9" x14ac:dyDescent="0.25">
      <c r="B16" s="33" t="str">
        <f t="shared" si="0"/>
        <v>Agressivo-TIJOLO</v>
      </c>
      <c r="C16" s="4" t="s">
        <v>28</v>
      </c>
      <c r="D16" s="4" t="s">
        <v>23</v>
      </c>
      <c r="E16" s="30">
        <v>0.1</v>
      </c>
    </row>
    <row r="17" spans="2:6" x14ac:dyDescent="0.25">
      <c r="B17" s="33" t="str">
        <f t="shared" si="0"/>
        <v>Agressivo-HÍBRIDROS</v>
      </c>
      <c r="C17" s="4" t="s">
        <v>28</v>
      </c>
      <c r="D17" s="4" t="s">
        <v>27</v>
      </c>
      <c r="E17" s="30">
        <v>0.05</v>
      </c>
    </row>
    <row r="18" spans="2:6" x14ac:dyDescent="0.25">
      <c r="B18" s="33" t="str">
        <f t="shared" si="0"/>
        <v>Agressivo-FOFS</v>
      </c>
      <c r="C18" s="4" t="s">
        <v>28</v>
      </c>
      <c r="D18" s="4" t="s">
        <v>24</v>
      </c>
      <c r="E18" s="30">
        <v>0.05</v>
      </c>
    </row>
    <row r="19" spans="2:6" x14ac:dyDescent="0.25">
      <c r="B19" s="33" t="str">
        <f t="shared" si="0"/>
        <v>Agressivo-DESENVOLVIMENTO</v>
      </c>
      <c r="C19" s="4" t="s">
        <v>28</v>
      </c>
      <c r="D19" s="4" t="s">
        <v>25</v>
      </c>
      <c r="E19" s="30">
        <v>0.2</v>
      </c>
    </row>
    <row r="20" spans="2:6" x14ac:dyDescent="0.25">
      <c r="B20" s="33" t="str">
        <f t="shared" si="0"/>
        <v>Agressivo-HOTELARIAS</v>
      </c>
      <c r="C20" s="4" t="s">
        <v>28</v>
      </c>
      <c r="D20" s="4" t="s">
        <v>26</v>
      </c>
      <c r="E20" s="30">
        <v>0.1</v>
      </c>
      <c r="F20" s="7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APP</vt:lpstr>
      <vt:lpstr>Apoio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Juliana</dc:creator>
  <cp:lastModifiedBy>Juliana</cp:lastModifiedBy>
  <dcterms:created xsi:type="dcterms:W3CDTF">2026-08-31T18:43:43Z</dcterms:created>
  <dcterms:modified xsi:type="dcterms:W3CDTF">2026-09-01T20:18:20Z</dcterms:modified>
</cp:coreProperties>
</file>