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8_{01B6AE60-5AC8-4820-8DFA-AE69B3DB1470}" xr6:coauthVersionLast="46" xr6:coauthVersionMax="46" xr10:uidLastSave="{00000000-0000-0000-0000-000000000000}"/>
  <bookViews>
    <workbookView xWindow="-120" yWindow="-120" windowWidth="20730" windowHeight="11160" tabRatio="0" xr2:uid="{2A78BB91-0A7E-4ECB-858A-20F30A996539}"/>
  </bookViews>
  <sheets>
    <sheet name="APP" sheetId="1" r:id="rId1"/>
    <sheet name="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 s="1"/>
  <c r="D20" i="1"/>
  <c r="D21" i="1" s="1"/>
  <c r="C28" i="1"/>
  <c r="D28" i="1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C37" i="1"/>
  <c r="D37" i="1" s="1"/>
  <c r="C38" i="1"/>
  <c r="D38" i="1" s="1"/>
  <c r="C39" i="1"/>
  <c r="C40" i="1"/>
  <c r="D40" i="1" s="1"/>
  <c r="C41" i="1"/>
  <c r="D41" i="1" s="1"/>
  <c r="C36" i="1"/>
  <c r="D36" i="1" s="1"/>
  <c r="D39" i="1"/>
  <c r="C33" i="1"/>
  <c r="D14" i="1"/>
  <c r="C25" i="1"/>
  <c r="D25" i="1" s="1"/>
  <c r="C26" i="1"/>
  <c r="D26" i="1" s="1"/>
  <c r="C27" i="1"/>
  <c r="D27" i="1" s="1"/>
  <c r="D42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<sst xmlns="http://schemas.openxmlformats.org/spreadsheetml/2006/main" count="69" uniqueCount="34">
  <si>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</si>
  <si>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</si>
  <si>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Patrimônio Acumulado?</t>
  </si>
  <si>
    <t>Divdendos Mensais?</t>
  </si>
  <si>
    <t>INVESTIMENTO MENSAL</t>
  </si>
  <si>
    <t>Taxa Rendimento mensal?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</si>
  <si>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</si>
  <si>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</si>
  <si>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</si>
  <si>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</si>
  <si>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</si>
  <si>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</si>
  <si>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</si>
  <si>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</si>
  <si>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CONFIGURAÇÕES</t>
  </si>
  <si>
    <t>Conservador</t>
  </si>
  <si>
    <t>VALOR A SER  INVESTIDO POR MÊS</t>
  </si>
  <si>
    <t>PERFIL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</si>
  <si>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</si>
  <si>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</si>
  <si>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</si>
  <si>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</si>
  <si>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</si>
  <si>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</si>
  <si>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</si>
  <si>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</si>
  <si>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HÍBRIDROS</t>
  </si>
  <si>
    <t>Agressivo</t>
  </si>
  <si>
    <t>TIPOS DE FII</t>
  </si>
  <si>
    <t>%</t>
  </si>
  <si>
    <t>CHAVE</t>
  </si>
  <si>
    <t>Moderado</t>
  </si>
  <si>
    <t>Sugestão de Investimento (30%)</t>
  </si>
  <si>
    <t xml:space="preserve">       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</si>
</sst>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0A91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4" fillId="0" borderId="0" xfId="0" applyFont="1"/>
    <xf numFmtId="164" fontId="0" fillId="0" borderId="0" xfId="0" applyNumberFormat="1"/>
    <xf numFmtId="0" fontId="6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9" fontId="0" fillId="0" borderId="0" xfId="0" applyNumberFormat="1"/>
    <xf numFmtId="164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4" fontId="3" fillId="4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0" fillId="5" borderId="0" xfId="0" applyFill="1"/>
    <xf numFmtId="0" fontId="2" fillId="5" borderId="0" xfId="2" applyFill="1" applyAlignment="1">
      <alignment horizontal="left"/>
    </xf>
    <xf numFmtId="9" fontId="2" fillId="5" borderId="0" xfId="1" applyFont="1" applyFill="1"/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indent="3"/>
    </xf>
    <xf numFmtId="0" fontId="9" fillId="0" borderId="16" xfId="0" applyFont="1" applyBorder="1" applyAlignment="1">
      <alignment horizontal="left" indent="3"/>
    </xf>
    <xf numFmtId="0" fontId="9" fillId="0" borderId="11" xfId="0" applyFont="1" applyBorder="1" applyAlignment="1">
      <alignment horizontal="left" indent="3"/>
    </xf>
    <xf numFmtId="0" fontId="9" fillId="0" borderId="18" xfId="0" applyFont="1" applyBorder="1" applyAlignment="1">
      <alignment horizontal="left" indent="3"/>
    </xf>
    <xf numFmtId="0" fontId="5" fillId="7" borderId="15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5" fillId="7" borderId="11" xfId="0" applyFont="1" applyFill="1" applyBorder="1" applyAlignment="1">
      <alignment horizontal="left" indent="3"/>
    </xf>
    <xf numFmtId="0" fontId="5" fillId="7" borderId="18" xfId="0" applyFont="1" applyFill="1" applyBorder="1" applyAlignment="1">
      <alignment horizontal="left" indent="3"/>
    </xf>
    <xf numFmtId="0" fontId="5" fillId="7" borderId="13" xfId="0" applyFont="1" applyFill="1" applyBorder="1" applyAlignment="1">
      <alignment horizontal="left" indent="3"/>
    </xf>
    <xf numFmtId="0" fontId="5" fillId="7" borderId="19" xfId="0" applyFont="1" applyFill="1" applyBorder="1" applyAlignment="1">
      <alignment horizontal="left" indent="3"/>
    </xf>
    <xf numFmtId="164" fontId="0" fillId="7" borderId="14" xfId="0" applyNumberFormat="1" applyFill="1" applyBorder="1" applyAlignment="1">
      <alignment horizontal="center"/>
    </xf>
    <xf numFmtId="0" fontId="10" fillId="7" borderId="11" xfId="0" applyFont="1" applyFill="1" applyBorder="1" applyAlignment="1">
      <alignment horizontal="left" indent="3"/>
    </xf>
    <xf numFmtId="0" fontId="10" fillId="7" borderId="18" xfId="0" applyFont="1" applyFill="1" applyBorder="1" applyAlignment="1">
      <alignment horizontal="left" indent="3"/>
    </xf>
    <xf numFmtId="8" fontId="3" fillId="7" borderId="12" xfId="0" applyNumberFormat="1" applyFont="1" applyFill="1" applyBorder="1" applyAlignment="1">
      <alignment horizontal="center"/>
    </xf>
    <xf numFmtId="0" fontId="10" fillId="7" borderId="13" xfId="0" applyFont="1" applyFill="1" applyBorder="1" applyAlignment="1">
      <alignment horizontal="left" indent="3"/>
    </xf>
    <xf numFmtId="0" fontId="10" fillId="7" borderId="19" xfId="0" applyFont="1" applyFill="1" applyBorder="1" applyAlignment="1">
      <alignment horizontal="left" indent="3"/>
    </xf>
    <xf numFmtId="8" fontId="3" fillId="7" borderId="14" xfId="0" applyNumberFormat="1" applyFont="1" applyFill="1" applyBorder="1" applyAlignment="1">
      <alignment horizontal="center"/>
    </xf>
    <xf numFmtId="0" fontId="5" fillId="7" borderId="15" xfId="0" applyFont="1" applyFill="1" applyBorder="1" applyAlignment="1">
      <alignment horizontal="left" indent="3"/>
    </xf>
    <xf numFmtId="164" fontId="0" fillId="7" borderId="16" xfId="0" applyNumberFormat="1" applyFill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5" fillId="7" borderId="11" xfId="0" applyFont="1" applyFill="1" applyBorder="1" applyAlignment="1">
      <alignment horizontal="left" indent="3"/>
    </xf>
    <xf numFmtId="164" fontId="0" fillId="7" borderId="18" xfId="0" applyNumberFormat="1" applyFill="1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0" fontId="5" fillId="7" borderId="13" xfId="0" applyFont="1" applyFill="1" applyBorder="1" applyAlignment="1">
      <alignment horizontal="left" indent="3"/>
    </xf>
    <xf numFmtId="164" fontId="0" fillId="7" borderId="19" xfId="0" applyNumberFormat="1" applyFill="1" applyBorder="1" applyAlignment="1">
      <alignment horizontal="center"/>
    </xf>
    <xf numFmtId="0" fontId="0" fillId="7" borderId="0" xfId="0" applyFill="1"/>
    <xf numFmtId="164" fontId="0" fillId="7" borderId="0" xfId="0" applyNumberFormat="1" applyFill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0A91C"/>
      <color rgb="FFA4DA8E"/>
      <color rgb="FF8EC26A"/>
      <color rgb="FFF6D40A"/>
      <color rgb="FFFC9F24"/>
      <color rgb="FFE9C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7-4C3C-8591-DCFEC89F11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7-4C3C-8591-DCFEC89F11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7-4C3C-8591-DCFEC89F11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7-4C3C-8591-DCFEC89F11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27-4C3C-8591-DCFEC89F11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27-4C3C-8591-DCFEC89F11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HÍBRIDROS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5-4277-B5D7-75BB7E302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388777</xdr:colOff>
      <xdr:row>44</xdr:row>
      <xdr:rowOff>18272</xdr:rowOff>
    </xdr:from>
    <xdr:to>
      <xdr:col>4</xdr:col>
      <xdr:colOff>320740</xdr:colOff>
      <xdr:row>58</xdr:row>
      <xdr:rowOff>40044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0AE6AB-1C19-479B-BCB9-58F956D4C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417934</xdr:colOff>
      <xdr:row>1</xdr:row>
      <xdr:rowOff>58316</xdr:rowOff>
    </xdr:from>
    <xdr:to>
      <xdr:col>4</xdr:col>
      <xdr:colOff>184669</xdr:colOff>
      <xdr:row>9</xdr:row>
      <xdr:rowOff>87085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2A2AFC9-7B16-4EC1-B143-CA59657F8871}"/>
            </a:ext>
          </a:extLst>
        </xdr:cNvPr>
        <xdr:cNvPicPr/>
      </xdr:nvPicPr>
      <xdr:blipFill>
        <a:blip xmlns:r="http://schemas.openxmlformats.org/officeDocument/2006/relationships" r:embed="rId2">
          <a:duotone>
            <a:prstClr val="black"/>
            <a:srgbClr val="A4DA8E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  <a14:imgEffect>
                    <a14:colorTemperature colorTemp="5900"/>
                  </a14:imgEffect>
                  <a14:imgEffect>
                    <a14:saturation sat="33000"/>
                  </a14:imgEffect>
                  <a14:imgEffect>
                    <a14:brightnessContrast bright="-11000" contrast="-6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34" y="252704"/>
          <a:ext cx="5248470" cy="1583871"/>
        </a:xfrm>
        <a:prstGeom prst="roundRect">
          <a:avLst>
            <a:gd name="adj" fmla="val 11144"/>
          </a:avLst>
        </a:prstGeom>
        <a:pattFill prst="pct5">
          <a:fgClr>
            <a:schemeClr val="accent6">
              <a:lumMod val="75000"/>
            </a:schemeClr>
          </a:fgClr>
          <a:bgClr>
            <a:schemeClr val="bg1"/>
          </a:bgClr>
        </a:patt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twoCellAnchor>
  <xdr:twoCellAnchor>
    <xdr:from>
      <xdr:col>1</xdr:col>
      <xdr:colOff>19440</xdr:colOff>
      <xdr:row>2</xdr:row>
      <xdr:rowOff>38877</xdr:rowOff>
    </xdr:from>
    <xdr:to>
      <xdr:col>3</xdr:col>
      <xdr:colOff>874746</xdr:colOff>
      <xdr:row>8</xdr:row>
      <xdr:rowOff>77755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6FCE03D5-6CE9-477F-9CAA-D4DD456B25AD}"/>
            </a:ext>
          </a:extLst>
        </xdr:cNvPr>
        <xdr:cNvSpPr>
          <a:spLocks noChangeArrowheads="1"/>
        </xdr:cNvSpPr>
      </xdr:nvSpPr>
      <xdr:spPr bwMode="auto">
        <a:xfrm>
          <a:off x="631761" y="427653"/>
          <a:ext cx="4830536" cy="1205204"/>
        </a:xfrm>
        <a:prstGeom prst="roundRect">
          <a:avLst>
            <a:gd name="adj" fmla="val 10368"/>
          </a:avLst>
        </a:prstGeom>
        <a:solidFill>
          <a:srgbClr val="FFFFFF"/>
        </a:solidFill>
        <a:ln w="12700">
          <a:solidFill>
            <a:srgbClr val="FFFFFF"/>
          </a:solidFill>
          <a:miter lim="800000"/>
          <a:headEnd/>
          <a:tailEnd/>
        </a:ln>
      </xdr:spPr>
      <xdr:txBody>
        <a:bodyPr wrap="square" lIns="91440" tIns="45720" rIns="91440" bIns="45720" anchor="b" upright="1"/>
        <a:lstStyle/>
        <a:p>
          <a:pPr lvl="0" algn="ctr" fontAlgn="base">
            <a:lnSpc>
              <a:spcPct val="107000"/>
            </a:lnSpc>
            <a:spcAft>
              <a:spcPts val="800"/>
            </a:spcAft>
          </a:pPr>
          <a:r>
            <a:rPr lang="pt-BR" sz="390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    </a:t>
          </a:r>
          <a:r>
            <a:rPr lang="pt-BR" sz="380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MEU</a:t>
          </a:r>
          <a:r>
            <a:rPr lang="pt-BR" sz="3800" baseline="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pt-BR" sz="380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INVEST</a:t>
          </a:r>
          <a:endParaRPr lang="pt-BR" sz="38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155511</xdr:colOff>
      <xdr:row>2</xdr:row>
      <xdr:rowOff>145791</xdr:rowOff>
    </xdr:from>
    <xdr:to>
      <xdr:col>1</xdr:col>
      <xdr:colOff>1195486</xdr:colOff>
      <xdr:row>8</xdr:row>
      <xdr:rowOff>38879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02589EB-7C03-47CA-B94C-F8488C51EBFC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832" y="534567"/>
          <a:ext cx="1039975" cy="1059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lt1">
            <a:tint val="95000"/>
            <a:satMod val="170000"/>
          </a:schemeClr>
        </a:solidFill>
        <a:ln w="38100"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6"/>
        </a:lnRef>
        <a:fillRef idx="1002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4E55-EB13-43FA-A317-670598A0C52D}">
  <dimension ref="A10:H42"/>
  <sheetViews>
    <sheetView showGridLines="0" showRowColHeaders="0" tabSelected="1" zoomScale="98" zoomScaleNormal="98" workbookViewId="0">
      <selection activeCell="G13" sqref="G13"/>
    </sheetView>
  </sheetViews>
  <sheetFormatPr defaultColWidth="0" defaultRowHeight="15" x14ac:dyDescent="0.25"/>
  <cols>
    <col min="1" max="1" width="9.140625" customWidth="1"/>
    <col min="2" max="2" width="40.5703125" customWidth="1"/>
    <col min="3" max="3" width="19.140625" bestFit="1" customWidth="1"/>
    <col min="4" max="4" width="13.42578125" customWidth="1"/>
    <col min="5" max="8" width="5.28515625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21" x14ac:dyDescent="0.25">
      <c r="B11" s="67" t="s">
        <v>14</v>
      </c>
      <c r="C11" s="68"/>
      <c r="D11" s="69"/>
    </row>
    <row r="12" spans="2:4" ht="15.75" x14ac:dyDescent="0.25">
      <c r="B12" s="41" t="s">
        <v>12</v>
      </c>
      <c r="C12" s="42"/>
      <c r="D12" s="8">
        <v>4450</v>
      </c>
    </row>
    <row r="13" spans="2:4" ht="15.75" x14ac:dyDescent="0.25">
      <c r="B13" s="43" t="s">
        <v>13</v>
      </c>
      <c r="C13" s="44"/>
      <c r="D13" s="9">
        <v>6.0000000000000001E-3</v>
      </c>
    </row>
    <row r="14" spans="2:4" ht="16.5" thickBot="1" x14ac:dyDescent="0.3">
      <c r="B14" s="45" t="s">
        <v>32</v>
      </c>
      <c r="C14" s="46"/>
      <c r="D14" s="47">
        <f>salario*30%</f>
        <v>1335</v>
      </c>
    </row>
    <row r="15" spans="2:4" ht="15.75" thickBot="1" x14ac:dyDescent="0.3"/>
    <row r="16" spans="2:4" ht="27" customHeight="1" x14ac:dyDescent="0.25">
      <c r="B16" s="35" t="s">
        <v>4</v>
      </c>
      <c r="C16" s="36"/>
      <c r="D16" s="3"/>
    </row>
    <row r="17" spans="1:7" ht="15.75" x14ac:dyDescent="0.25">
      <c r="B17" s="37" t="s">
        <v>0</v>
      </c>
      <c r="C17" s="38"/>
      <c r="D17" s="10">
        <v>450</v>
      </c>
    </row>
    <row r="18" spans="1:7" ht="15.75" x14ac:dyDescent="0.25">
      <c r="B18" s="39" t="s">
        <v>1</v>
      </c>
      <c r="C18" s="40"/>
      <c r="D18" s="11">
        <v>10</v>
      </c>
    </row>
    <row r="19" spans="1:7" ht="15.75" x14ac:dyDescent="0.25">
      <c r="B19" s="39" t="s">
        <v>5</v>
      </c>
      <c r="C19" s="40"/>
      <c r="D19" s="12">
        <v>1.0789999999999999E-2</v>
      </c>
      <c r="G19" s="4"/>
    </row>
    <row r="20" spans="1:7" ht="15.75" x14ac:dyDescent="0.25">
      <c r="B20" s="48" t="s">
        <v>2</v>
      </c>
      <c r="C20" s="49"/>
      <c r="D20" s="50">
        <f>FV(taxa_mensal,qtd_anos*12,Aporte*-1)</f>
        <v>109477.89563857749</v>
      </c>
    </row>
    <row r="21" spans="1:7" ht="16.5" thickBot="1" x14ac:dyDescent="0.3">
      <c r="B21" s="51" t="s">
        <v>3</v>
      </c>
      <c r="C21" s="52"/>
      <c r="D21" s="53">
        <f>patrimonio*Rendimento_Carteira</f>
        <v>656.86737383146499</v>
      </c>
    </row>
    <row r="22" spans="1:7" ht="15.75" thickBot="1" x14ac:dyDescent="0.3"/>
    <row r="23" spans="1:7" ht="26.25" x14ac:dyDescent="0.25">
      <c r="B23" s="29" t="s">
        <v>33</v>
      </c>
      <c r="C23" s="6"/>
      <c r="D23" s="5" t="s">
        <v>11</v>
      </c>
    </row>
    <row r="24" spans="1:7" ht="15.75" x14ac:dyDescent="0.25">
      <c r="A24" s="1">
        <v>2</v>
      </c>
      <c r="B24" s="54" t="s">
        <v>6</v>
      </c>
      <c r="C24" s="55">
        <f>FV($D$19,$A24*12,$D$17*-1)</f>
        <v>12252.432283940348</v>
      </c>
      <c r="D24" s="56">
        <f>C24*Rendimento_Carteira</f>
        <v>73.514593703642092</v>
      </c>
      <c r="E24" s="2"/>
    </row>
    <row r="25" spans="1:7" ht="15.75" x14ac:dyDescent="0.25">
      <c r="A25" s="1">
        <v>5</v>
      </c>
      <c r="B25" s="57" t="s">
        <v>7</v>
      </c>
      <c r="C25" s="58">
        <f>FV($D$19,$A25*12,$D$17*-1)</f>
        <v>37699.61129931944</v>
      </c>
      <c r="D25" s="59">
        <f>C25*Rendimento_Carteira</f>
        <v>226.19766779591666</v>
      </c>
    </row>
    <row r="26" spans="1:7" ht="15.75" x14ac:dyDescent="0.25">
      <c r="A26" s="1">
        <v>10</v>
      </c>
      <c r="B26" s="57" t="s">
        <v>8</v>
      </c>
      <c r="C26" s="58">
        <f>FV($D$19,$A26*12,$D$17*-1)</f>
        <v>109477.89563857749</v>
      </c>
      <c r="D26" s="59">
        <f>C26*Rendimento_Carteira</f>
        <v>656.86737383146499</v>
      </c>
    </row>
    <row r="27" spans="1:7" ht="15.75" x14ac:dyDescent="0.25">
      <c r="A27" s="1">
        <v>20</v>
      </c>
      <c r="B27" s="57" t="s">
        <v>9</v>
      </c>
      <c r="C27" s="58">
        <f>FV($D$19,$A27*12,$D$17*-1)</f>
        <v>506339.28004368627</v>
      </c>
      <c r="D27" s="59">
        <f>C27*Rendimento_Carteira</f>
        <v>3038.0356802621177</v>
      </c>
    </row>
    <row r="28" spans="1:7" ht="16.5" thickBot="1" x14ac:dyDescent="0.3">
      <c r="A28" s="1">
        <v>30</v>
      </c>
      <c r="B28" s="60" t="s">
        <v>10</v>
      </c>
      <c r="C28" s="61">
        <f>FV($D$19,$A28*12,$D$17*-1)</f>
        <v>1944976.3447521215</v>
      </c>
      <c r="D28" s="47">
        <f>C28*Rendimento_Carteira</f>
        <v>11669.858068512729</v>
      </c>
    </row>
    <row r="32" spans="1:7" x14ac:dyDescent="0.25">
      <c r="B32" s="13" t="s">
        <v>17</v>
      </c>
      <c r="C32" s="14" t="s">
        <v>31</v>
      </c>
      <c r="D32" s="13"/>
    </row>
    <row r="33" spans="2:4" x14ac:dyDescent="0.25">
      <c r="B33" s="62" t="s">
        <v>16</v>
      </c>
      <c r="C33" s="63">
        <f>Aporte</f>
        <v>450</v>
      </c>
      <c r="D33" s="62"/>
    </row>
    <row r="35" spans="2:4" x14ac:dyDescent="0.25">
      <c r="B35" s="16" t="s">
        <v>18</v>
      </c>
      <c r="C35" s="16" t="s">
        <v>19</v>
      </c>
      <c r="D35" s="16" t="s">
        <v>20</v>
      </c>
    </row>
    <row r="36" spans="2:4" x14ac:dyDescent="0.25">
      <c r="B36" s="23" t="s">
        <v>21</v>
      </c>
      <c r="C36" s="24">
        <f>VLOOKUP($C$32&amp;"-"&amp;B36,Apoio!$B$3:$E$20,4,FALSE)</f>
        <v>0.32</v>
      </c>
      <c r="D36" s="64">
        <f t="shared" ref="D36:D41" si="0">C36*Aporte</f>
        <v>144</v>
      </c>
    </row>
    <row r="37" spans="2:4" x14ac:dyDescent="0.25">
      <c r="B37" s="25" t="s">
        <v>22</v>
      </c>
      <c r="C37" s="26">
        <f>VLOOKUP($C$32&amp;"-"&amp;B37,Apoio!$B$3:$E$20,4,FALSE)</f>
        <v>0.35</v>
      </c>
      <c r="D37" s="65">
        <f t="shared" si="0"/>
        <v>157.5</v>
      </c>
    </row>
    <row r="38" spans="2:4" x14ac:dyDescent="0.25">
      <c r="B38" s="25" t="s">
        <v>26</v>
      </c>
      <c r="C38" s="26">
        <f>VLOOKUP($C$32&amp;"-"&amp;B38,Apoio!$B$3:$E$20,4,FALSE)</f>
        <v>0.08</v>
      </c>
      <c r="D38" s="65">
        <f t="shared" si="0"/>
        <v>36</v>
      </c>
    </row>
    <row r="39" spans="2:4" x14ac:dyDescent="0.25">
      <c r="B39" s="25" t="s">
        <v>23</v>
      </c>
      <c r="C39" s="26">
        <f>VLOOKUP($C$32&amp;"-"&amp;B39,Apoio!$B$3:$E$20,4,FALSE)</f>
        <v>0.05</v>
      </c>
      <c r="D39" s="65">
        <f t="shared" si="0"/>
        <v>22.5</v>
      </c>
    </row>
    <row r="40" spans="2:4" x14ac:dyDescent="0.25">
      <c r="B40" s="25" t="s">
        <v>24</v>
      </c>
      <c r="C40" s="26">
        <f>VLOOKUP($C$32&amp;"-"&amp;B40,Apoio!$B$3:$E$20,4,FALSE)</f>
        <v>0.1</v>
      </c>
      <c r="D40" s="65">
        <f t="shared" si="0"/>
        <v>45</v>
      </c>
    </row>
    <row r="41" spans="2:4" x14ac:dyDescent="0.25">
      <c r="B41" s="27" t="s">
        <v>25</v>
      </c>
      <c r="C41" s="28">
        <f>VLOOKUP($C$32&amp;"-"&amp;B41,Apoio!$B$3:$E$20,4,FALSE)</f>
        <v>0.1</v>
      </c>
      <c r="D41" s="66">
        <f t="shared" si="0"/>
        <v>45</v>
      </c>
    </row>
    <row r="42" spans="2:4" x14ac:dyDescent="0.25">
      <c r="B42" s="15"/>
      <c r="C42" s="16"/>
      <c r="D42" s="22">
        <f>SUM(D36:D41)</f>
        <v>450</v>
      </c>
    </row>
  </sheetData>
  <mergeCells count="10">
    <mergeCell ref="B11:D11"/>
    <mergeCell ref="B16:C16"/>
    <mergeCell ref="B17:C17"/>
    <mergeCell ref="B18:C18"/>
    <mergeCell ref="B19:C19"/>
    <mergeCell ref="B20:C20"/>
    <mergeCell ref="B21:C21"/>
    <mergeCell ref="B12:C12"/>
    <mergeCell ref="B13:C13"/>
    <mergeCell ref="B14:C14"/>
  </mergeCells>
  <dataValidations count="1">
    <dataValidation type="list" allowBlank="1" showInputMessage="1" showErrorMessage="1" sqref="C32" xr:uid="{8EF6993C-7722-4D6E-9CE2-D0B5A02E4AA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F14-0366-4CFB-9CE6-F2FC8B1F3D06}">
  <dimension ref="B2:I20"/>
  <sheetViews>
    <sheetView showGridLines="0" workbookViewId="0">
      <selection activeCell="B3" sqref="B3"/>
    </sheetView>
  </sheetViews>
  <sheetFormatPr defaultRowHeight="15" x14ac:dyDescent="0.25"/>
  <cols>
    <col min="1" max="1" width="5.42578125" customWidth="1"/>
    <col min="2" max="2" width="31.28515625" style="20" bestFit="1" customWidth="1"/>
    <col min="3" max="3" width="13.85546875" style="4" customWidth="1"/>
    <col min="4" max="4" width="19" bestFit="1" customWidth="1"/>
    <col min="5" max="5" width="9.140625" style="4"/>
    <col min="8" max="8" width="17" bestFit="1" customWidth="1"/>
    <col min="9" max="9" width="10.140625" bestFit="1" customWidth="1"/>
  </cols>
  <sheetData>
    <row r="2" spans="2:9" x14ac:dyDescent="0.25">
      <c r="B2" s="33" t="s">
        <v>30</v>
      </c>
      <c r="C2" s="34" t="s">
        <v>17</v>
      </c>
      <c r="D2" s="34" t="s">
        <v>28</v>
      </c>
      <c r="E2" s="34" t="s">
        <v>29</v>
      </c>
    </row>
    <row r="3" spans="2:9" x14ac:dyDescent="0.25">
      <c r="B3" s="20" t="str">
        <f>C3&amp;"-"&amp;D3</f>
        <v>Conservador-PAPEL</v>
      </c>
      <c r="C3" s="4" t="s">
        <v>15</v>
      </c>
      <c r="D3" s="4" t="s">
        <v>21</v>
      </c>
      <c r="E3" s="17">
        <v>0.3</v>
      </c>
    </row>
    <row r="4" spans="2:9" x14ac:dyDescent="0.25">
      <c r="B4" s="20" t="str">
        <f t="shared" ref="B4:B20" si="0">C4&amp;"-"&amp;D4</f>
        <v>Conservador-TIJOLO</v>
      </c>
      <c r="C4" s="4" t="s">
        <v>15</v>
      </c>
      <c r="D4" s="4" t="s">
        <v>22</v>
      </c>
      <c r="E4" s="17">
        <v>0.5</v>
      </c>
      <c r="H4" s="30"/>
      <c r="I4" s="30"/>
    </row>
    <row r="5" spans="2:9" x14ac:dyDescent="0.25">
      <c r="B5" s="20" t="str">
        <f t="shared" si="0"/>
        <v>Conservador-HÍBRIDROS</v>
      </c>
      <c r="C5" s="4" t="s">
        <v>15</v>
      </c>
      <c r="D5" s="4" t="s">
        <v>26</v>
      </c>
      <c r="E5" s="17">
        <v>0.1</v>
      </c>
      <c r="H5" s="31"/>
      <c r="I5" s="32"/>
    </row>
    <row r="6" spans="2:9" x14ac:dyDescent="0.25">
      <c r="B6" s="20" t="str">
        <f t="shared" si="0"/>
        <v>Conservador-FOFS</v>
      </c>
      <c r="C6" s="4" t="s">
        <v>15</v>
      </c>
      <c r="D6" s="4" t="s">
        <v>23</v>
      </c>
      <c r="E6" s="17">
        <v>0.1</v>
      </c>
    </row>
    <row r="7" spans="2:9" x14ac:dyDescent="0.25">
      <c r="B7" s="20" t="str">
        <f t="shared" si="0"/>
        <v>Conservador-DESENVOLVIMENTO</v>
      </c>
      <c r="C7" s="4" t="s">
        <v>15</v>
      </c>
      <c r="D7" s="4" t="s">
        <v>24</v>
      </c>
      <c r="E7" s="17">
        <v>0</v>
      </c>
    </row>
    <row r="8" spans="2:9" ht="15.75" thickBot="1" x14ac:dyDescent="0.3">
      <c r="B8" s="21" t="str">
        <f t="shared" si="0"/>
        <v>Conservador-HOTELARIAS</v>
      </c>
      <c r="C8" s="18" t="s">
        <v>15</v>
      </c>
      <c r="D8" s="18" t="s">
        <v>25</v>
      </c>
      <c r="E8" s="19">
        <v>0</v>
      </c>
    </row>
    <row r="9" spans="2:9" x14ac:dyDescent="0.25">
      <c r="B9" s="20" t="str">
        <f t="shared" si="0"/>
        <v>Moderado-PAPEL</v>
      </c>
      <c r="C9" s="4" t="s">
        <v>31</v>
      </c>
      <c r="D9" s="4" t="s">
        <v>21</v>
      </c>
      <c r="E9" s="17">
        <v>0.32</v>
      </c>
    </row>
    <row r="10" spans="2:9" x14ac:dyDescent="0.25">
      <c r="B10" s="20" t="str">
        <f t="shared" si="0"/>
        <v>Moderado-TIJOLO</v>
      </c>
      <c r="C10" s="4" t="s">
        <v>31</v>
      </c>
      <c r="D10" s="4" t="s">
        <v>22</v>
      </c>
      <c r="E10" s="17">
        <v>0.35</v>
      </c>
    </row>
    <row r="11" spans="2:9" x14ac:dyDescent="0.25">
      <c r="B11" s="20" t="str">
        <f t="shared" si="0"/>
        <v>Moderado-HÍBRIDROS</v>
      </c>
      <c r="C11" s="4" t="s">
        <v>31</v>
      </c>
      <c r="D11" s="4" t="s">
        <v>26</v>
      </c>
      <c r="E11" s="17">
        <v>0.08</v>
      </c>
    </row>
    <row r="12" spans="2:9" x14ac:dyDescent="0.25">
      <c r="B12" s="20" t="str">
        <f t="shared" si="0"/>
        <v>Moderado-FOFS</v>
      </c>
      <c r="C12" s="4" t="s">
        <v>31</v>
      </c>
      <c r="D12" s="4" t="s">
        <v>23</v>
      </c>
      <c r="E12" s="17">
        <v>0.05</v>
      </c>
    </row>
    <row r="13" spans="2:9" x14ac:dyDescent="0.25">
      <c r="B13" s="20" t="str">
        <f t="shared" si="0"/>
        <v>Moderado-DESENVOLVIMENTO</v>
      </c>
      <c r="C13" s="4" t="s">
        <v>31</v>
      </c>
      <c r="D13" s="4" t="s">
        <v>24</v>
      </c>
      <c r="E13" s="17">
        <v>0.1</v>
      </c>
    </row>
    <row r="14" spans="2:9" ht="15.75" thickBot="1" x14ac:dyDescent="0.3">
      <c r="B14" s="21" t="str">
        <f t="shared" si="0"/>
        <v>Moderado-HOTELARIAS</v>
      </c>
      <c r="C14" s="18" t="s">
        <v>31</v>
      </c>
      <c r="D14" s="18" t="s">
        <v>25</v>
      </c>
      <c r="E14" s="19">
        <v>0.1</v>
      </c>
    </row>
    <row r="15" spans="2:9" x14ac:dyDescent="0.25">
      <c r="B15" s="20" t="str">
        <f t="shared" si="0"/>
        <v>Agressivo-PAPEL</v>
      </c>
      <c r="C15" s="4" t="s">
        <v>27</v>
      </c>
      <c r="D15" s="4" t="s">
        <v>21</v>
      </c>
      <c r="E15" s="17">
        <v>0.5</v>
      </c>
    </row>
    <row r="16" spans="2:9" x14ac:dyDescent="0.25">
      <c r="B16" s="20" t="str">
        <f t="shared" si="0"/>
        <v>Agressivo-TIJOLO</v>
      </c>
      <c r="C16" s="4" t="s">
        <v>27</v>
      </c>
      <c r="D16" s="4" t="s">
        <v>22</v>
      </c>
      <c r="E16" s="17">
        <v>0.1</v>
      </c>
    </row>
    <row r="17" spans="2:6" x14ac:dyDescent="0.25">
      <c r="B17" s="20" t="str">
        <f t="shared" si="0"/>
        <v>Agressivo-HÍBRIDROS</v>
      </c>
      <c r="C17" s="4" t="s">
        <v>27</v>
      </c>
      <c r="D17" s="4" t="s">
        <v>26</v>
      </c>
      <c r="E17" s="17">
        <v>0.05</v>
      </c>
    </row>
    <row r="18" spans="2:6" x14ac:dyDescent="0.25">
      <c r="B18" s="20" t="str">
        <f t="shared" si="0"/>
        <v>Agressivo-FOFS</v>
      </c>
      <c r="C18" s="4" t="s">
        <v>27</v>
      </c>
      <c r="D18" s="4" t="s">
        <v>23</v>
      </c>
      <c r="E18" s="17">
        <v>0.05</v>
      </c>
    </row>
    <row r="19" spans="2:6" x14ac:dyDescent="0.25">
      <c r="B19" s="20" t="str">
        <f t="shared" si="0"/>
        <v>Agressivo-DESENVOLVIMENTO</v>
      </c>
      <c r="C19" s="4" t="s">
        <v>27</v>
      </c>
      <c r="D19" s="4" t="s">
        <v>24</v>
      </c>
      <c r="E19" s="17">
        <v>0.2</v>
      </c>
    </row>
    <row r="20" spans="2:6" x14ac:dyDescent="0.25">
      <c r="B20" s="20" t="str">
        <f t="shared" si="0"/>
        <v>Agressivo-HOTELARIAS</v>
      </c>
      <c r="C20" s="4" t="s">
        <v>27</v>
      </c>
      <c r="D20" s="4" t="s">
        <v>25</v>
      </c>
      <c r="E20" s="17">
        <v>0.1</v>
      </c>
      <c r="F20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2026-08-31T18:43:43Z</dcterms:created>
  <dcterms:modified xsi:type="dcterms:W3CDTF">2026-09-01T22:09:05Z</dcterms:modified>
</cp:coreProperties>
</file>